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8_{254FC9DA-DE55-4585-BAA2-34BD47DBCC80}" xr6:coauthVersionLast="47" xr6:coauthVersionMax="47" xr10:uidLastSave="{00000000-0000-0000-0000-000000000000}"/>
  <bookViews>
    <workbookView xWindow="-120" yWindow="-120" windowWidth="38640" windowHeight="21120" xr2:uid="{6BEBE64F-6F0E-4E95-9FE0-8FA11D8F3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E11" i="1"/>
  <c r="M11" i="1" s="1"/>
  <c r="E12" i="1"/>
  <c r="M12" i="1" s="1"/>
  <c r="E13" i="1"/>
  <c r="M13" i="1" s="1"/>
  <c r="E10" i="1"/>
  <c r="M10" i="1" s="1"/>
  <c r="E8" i="1"/>
  <c r="N8" i="1" s="1"/>
  <c r="E3" i="1"/>
  <c r="E4" i="1"/>
  <c r="E5" i="1"/>
  <c r="E2" i="1"/>
  <c r="L8" i="1" l="1"/>
  <c r="M8" i="1"/>
  <c r="L10" i="1"/>
  <c r="N10" i="1"/>
  <c r="L11" i="1"/>
  <c r="N11" i="1"/>
  <c r="L12" i="1"/>
  <c r="N12" i="1"/>
</calcChain>
</file>

<file path=xl/sharedStrings.xml><?xml version="1.0" encoding="utf-8"?>
<sst xmlns="http://schemas.openxmlformats.org/spreadsheetml/2006/main" count="87" uniqueCount="53">
  <si>
    <t>Name</t>
  </si>
  <si>
    <t>Formula</t>
  </si>
  <si>
    <t>Dipole Moment</t>
  </si>
  <si>
    <t>Dipole Moment exp</t>
  </si>
  <si>
    <t>Avg dipole if  possible</t>
  </si>
  <si>
    <t>Rot constant A</t>
  </si>
  <si>
    <t>Rot constant B</t>
  </si>
  <si>
    <t>Rot constant C</t>
  </si>
  <si>
    <t>A-B</t>
  </si>
  <si>
    <t>A-C</t>
  </si>
  <si>
    <t>B-C</t>
  </si>
  <si>
    <t>Stark A</t>
  </si>
  <si>
    <t>Stark B</t>
  </si>
  <si>
    <t>Stark C</t>
  </si>
  <si>
    <t>Quadrupole moment</t>
  </si>
  <si>
    <t>Trimethylamine</t>
  </si>
  <si>
    <t>N(CH3)3</t>
  </si>
  <si>
    <t>triethylamine</t>
  </si>
  <si>
    <t>C6H15N</t>
  </si>
  <si>
    <t>Propane, 2-chloro-2-methyl-</t>
  </si>
  <si>
    <t>CH3CCl(CH3)CH3</t>
  </si>
  <si>
    <t>trimethyl arsine</t>
  </si>
  <si>
    <t>As(CH3)3</t>
  </si>
  <si>
    <t>trimethylphosphine</t>
  </si>
  <si>
    <t>P(CH3)3</t>
  </si>
  <si>
    <t>Iron pentacarbonyl</t>
  </si>
  <si>
    <t>Fe(CO)5</t>
  </si>
  <si>
    <t>Acetonitrile, trifluoro-</t>
  </si>
  <si>
    <t>CF3CN</t>
  </si>
  <si>
    <t>methyltrichlorosilane</t>
  </si>
  <si>
    <t>SiCl3CH3</t>
  </si>
  <si>
    <t>methyl amine</t>
  </si>
  <si>
    <t>CH3NH2</t>
  </si>
  <si>
    <t>Acetonitrile</t>
  </si>
  <si>
    <t>CH3CN</t>
  </si>
  <si>
    <t>propyne</t>
  </si>
  <si>
    <t>CH3CCH</t>
  </si>
  <si>
    <t>Ethane, 1,1,1-trichloro-</t>
  </si>
  <si>
    <t>CH3CCl3</t>
  </si>
  <si>
    <t>(trichloromethyl)silane</t>
  </si>
  <si>
    <t>SiH3CCl3</t>
  </si>
  <si>
    <t>NaN</t>
  </si>
  <si>
    <t>Point group</t>
  </si>
  <si>
    <t>C_3v</t>
  </si>
  <si>
    <t>C_3</t>
  </si>
  <si>
    <t>C_4v</t>
  </si>
  <si>
    <t>Reference</t>
  </si>
  <si>
    <t>https://pmc.ncbi.nlm.nih.gov/articles/PMC6658462/</t>
  </si>
  <si>
    <t>Suspected</t>
  </si>
  <si>
    <t>prolate</t>
  </si>
  <si>
    <t>oblate</t>
  </si>
  <si>
    <t>oblate?</t>
  </si>
  <si>
    <t>unsure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</si>
</sst>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0BC1-BD40-444A-B8BE-418967E3685C}">
  <dimension ref="A1:R14"/>
  <sheetViews>
    <sheetView tabSelected="1" workbookViewId="0">
      <selection activeCell="O30" sqref="O30"/>
    </sheetView>
  </sheetViews>
  <sheetFormatPr defaultRowHeight="15" x14ac:dyDescent="0.25"/>
  <cols>
    <col min="1" max="1" width="34" customWidth="1"/>
    <col min="2" max="2" width="18.7109375" customWidth="1"/>
    <col min="3" max="3" width="20.42578125" customWidth="1"/>
    <col min="4" max="4" width="23.42578125" customWidth="1"/>
    <col min="5" max="5" width="27.140625" customWidth="1"/>
    <col min="6" max="6" width="21.85546875" customWidth="1"/>
    <col min="7" max="7" width="19.42578125" customWidth="1"/>
    <col min="8" max="8" width="18.42578125" customWidth="1"/>
    <col min="9" max="9" width="16" customWidth="1"/>
    <col min="10" max="10" width="15.28515625" customWidth="1"/>
    <col min="11" max="11" width="16.5703125" customWidth="1"/>
    <col min="12" max="12" width="13.42578125" customWidth="1"/>
    <col min="13" max="13" width="18.140625" customWidth="1"/>
    <col min="14" max="14" width="17.140625" customWidth="1"/>
    <col min="15" max="15" width="22.28515625" customWidth="1"/>
    <col min="16" max="16" width="15" customWidth="1"/>
    <col min="17" max="17" width="11.7109375" customWidth="1"/>
    <col min="18" max="18" width="14.28515625" customWidth="1"/>
  </cols>
  <sheetData>
    <row r="1" spans="1:1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4" t="s">
        <v>42</v>
      </c>
      <c r="Q1" s="4" t="s">
        <v>46</v>
      </c>
      <c r="R1" s="4" t="s">
        <v>48</v>
      </c>
    </row>
    <row r="2" spans="1:18" x14ac:dyDescent="0.25">
      <c r="A2" s="5" t="s">
        <v>15</v>
      </c>
      <c r="B2" s="5" t="s">
        <v>16</v>
      </c>
      <c r="C2" s="5">
        <v>0.74399999999999999</v>
      </c>
      <c r="D2" s="5">
        <v>0.61199999999999999</v>
      </c>
      <c r="E2" s="5">
        <f>AVERAGE(C2:D2)</f>
        <v>0.67799999999999994</v>
      </c>
      <c r="F2" s="5"/>
      <c r="G2" s="5">
        <v>0.2908</v>
      </c>
      <c r="H2" s="5"/>
      <c r="I2" s="5"/>
      <c r="J2" s="5"/>
      <c r="K2" s="5"/>
      <c r="L2" s="5"/>
      <c r="M2" s="5"/>
      <c r="N2" s="5"/>
      <c r="O2" s="5">
        <v>-3.4849999999999999</v>
      </c>
      <c r="P2" s="5" t="s">
        <v>43</v>
      </c>
      <c r="Q2" t="s">
        <v>47</v>
      </c>
      <c r="R2" t="s">
        <v>50</v>
      </c>
    </row>
    <row r="3" spans="1:18" x14ac:dyDescent="0.25">
      <c r="A3" s="5" t="s">
        <v>17</v>
      </c>
      <c r="B3" s="5" t="s">
        <v>18</v>
      </c>
      <c r="C3" s="5">
        <v>0.72299999999999998</v>
      </c>
      <c r="D3" s="5">
        <v>0.66</v>
      </c>
      <c r="E3" s="5">
        <f t="shared" ref="E3:E5" si="0">AVERAGE(C3:D3)</f>
        <v>0.6915</v>
      </c>
      <c r="F3" s="5" t="s">
        <v>41</v>
      </c>
      <c r="G3" s="5" t="s">
        <v>41</v>
      </c>
      <c r="H3" s="5" t="s">
        <v>41</v>
      </c>
      <c r="I3" s="5"/>
      <c r="J3" s="5"/>
      <c r="K3" s="5"/>
      <c r="L3" s="5"/>
      <c r="M3" s="5"/>
      <c r="N3" s="5"/>
      <c r="O3" s="5">
        <v>-2.0630000000000002</v>
      </c>
      <c r="P3" s="5" t="s">
        <v>44</v>
      </c>
      <c r="R3" t="s">
        <v>50</v>
      </c>
    </row>
    <row r="4" spans="1:18" x14ac:dyDescent="0.25">
      <c r="A4" s="5" t="s">
        <v>19</v>
      </c>
      <c r="B4" s="5" t="s">
        <v>20</v>
      </c>
      <c r="C4" s="5">
        <v>2.4860000000000002</v>
      </c>
      <c r="D4" s="5">
        <v>2.13</v>
      </c>
      <c r="E4" s="5">
        <f t="shared" si="0"/>
        <v>2.3079999999999998</v>
      </c>
      <c r="F4" s="5"/>
      <c r="G4" s="5">
        <v>0.10059999999999999</v>
      </c>
      <c r="H4" s="5"/>
      <c r="I4" s="5"/>
      <c r="J4" s="5"/>
      <c r="K4" s="5"/>
      <c r="L4" s="5"/>
      <c r="M4" s="5"/>
      <c r="N4" s="5"/>
      <c r="O4" s="5">
        <v>1.238</v>
      </c>
      <c r="P4" s="5" t="s">
        <v>43</v>
      </c>
      <c r="Q4" t="s">
        <v>47</v>
      </c>
      <c r="R4" t="s">
        <v>51</v>
      </c>
    </row>
    <row r="5" spans="1:18" x14ac:dyDescent="0.25">
      <c r="A5" s="5" t="s">
        <v>21</v>
      </c>
      <c r="B5" s="5" t="s">
        <v>22</v>
      </c>
      <c r="C5" s="5">
        <v>1.1930000000000001</v>
      </c>
      <c r="D5" s="5">
        <v>0.86</v>
      </c>
      <c r="E5" s="5">
        <f t="shared" si="0"/>
        <v>1.0265</v>
      </c>
      <c r="F5" s="5" t="s">
        <v>41</v>
      </c>
      <c r="G5" s="5" t="s">
        <v>41</v>
      </c>
      <c r="H5" s="5" t="s">
        <v>41</v>
      </c>
      <c r="I5" s="5"/>
      <c r="J5" s="5"/>
      <c r="K5" s="5"/>
      <c r="L5" s="5"/>
      <c r="M5" s="5"/>
      <c r="N5" s="5"/>
      <c r="O5" s="5">
        <v>-3.7770000000000001</v>
      </c>
      <c r="P5" s="5" t="s">
        <v>43</v>
      </c>
      <c r="R5" t="s">
        <v>50</v>
      </c>
    </row>
    <row r="6" spans="1:18" x14ac:dyDescent="0.25">
      <c r="A6" s="5" t="s">
        <v>23</v>
      </c>
      <c r="B6" s="5" t="s">
        <v>24</v>
      </c>
      <c r="C6" s="5">
        <v>1.37</v>
      </c>
      <c r="D6" s="5" t="s">
        <v>41</v>
      </c>
      <c r="E6" s="5">
        <v>1.37</v>
      </c>
      <c r="F6" s="5"/>
      <c r="G6" s="5">
        <v>0.19400000000000001</v>
      </c>
      <c r="H6" s="5"/>
      <c r="I6" s="5"/>
      <c r="J6" s="5"/>
      <c r="K6" s="5"/>
      <c r="L6" s="5"/>
      <c r="M6" s="5"/>
      <c r="N6" s="5"/>
      <c r="O6" s="5">
        <v>-4.649</v>
      </c>
      <c r="P6" s="5" t="s">
        <v>43</v>
      </c>
      <c r="Q6" t="s">
        <v>47</v>
      </c>
      <c r="R6" t="s">
        <v>50</v>
      </c>
    </row>
    <row r="7" spans="1:18" x14ac:dyDescent="0.25">
      <c r="A7" s="5" t="s">
        <v>25</v>
      </c>
      <c r="B7" s="5" t="s">
        <v>26</v>
      </c>
      <c r="C7" s="5">
        <v>2.8170000000000002</v>
      </c>
      <c r="D7" s="5" t="s">
        <v>41</v>
      </c>
      <c r="E7" s="5">
        <v>2.8170000000000002</v>
      </c>
      <c r="F7" s="5" t="s">
        <v>41</v>
      </c>
      <c r="G7" s="5" t="s">
        <v>41</v>
      </c>
      <c r="H7" s="5" t="s">
        <v>41</v>
      </c>
      <c r="I7" s="5"/>
      <c r="J7" s="5"/>
      <c r="K7" s="5"/>
      <c r="L7" s="5"/>
      <c r="M7" s="5"/>
      <c r="N7" s="5"/>
      <c r="O7" s="5">
        <v>0.628</v>
      </c>
      <c r="P7" s="5" t="s">
        <v>45</v>
      </c>
      <c r="R7" t="s">
        <v>52</v>
      </c>
    </row>
    <row r="8" spans="1:18" x14ac:dyDescent="0.25">
      <c r="A8" s="5" t="s">
        <v>27</v>
      </c>
      <c r="B8" s="5" t="s">
        <v>28</v>
      </c>
      <c r="C8" s="5">
        <v>1.4950000000000001</v>
      </c>
      <c r="D8" s="5">
        <v>1.33</v>
      </c>
      <c r="E8" s="5">
        <f>AVERAGE(C8:D8)</f>
        <v>1.4125000000000001</v>
      </c>
      <c r="F8" s="5">
        <v>0.188</v>
      </c>
      <c r="G8" s="5">
        <v>9.8000000000000004E-2</v>
      </c>
      <c r="H8" s="5">
        <v>9.8000000000000004E-2</v>
      </c>
      <c r="I8" s="5"/>
      <c r="J8" s="5"/>
      <c r="K8" s="5"/>
      <c r="L8" s="5">
        <f>$E$8^2/F8</f>
        <v>10.612533244680852</v>
      </c>
      <c r="M8" s="5">
        <f t="shared" ref="M8:N8" si="1">$E$8^2/G8</f>
        <v>20.358737244897959</v>
      </c>
      <c r="N8" s="5">
        <f t="shared" si="1"/>
        <v>20.358737244897959</v>
      </c>
      <c r="O8" s="5">
        <v>-6.62</v>
      </c>
      <c r="P8" s="5" t="s">
        <v>43</v>
      </c>
      <c r="R8" t="s">
        <v>50</v>
      </c>
    </row>
    <row r="9" spans="1:18" x14ac:dyDescent="0.25">
      <c r="A9" s="5" t="s">
        <v>29</v>
      </c>
      <c r="B9" s="5" t="s">
        <v>30</v>
      </c>
      <c r="C9" s="5">
        <v>2.4689999999999999</v>
      </c>
      <c r="D9" s="5" t="s">
        <v>41</v>
      </c>
      <c r="E9" s="5">
        <v>2.4689999999999999</v>
      </c>
      <c r="F9" s="5"/>
      <c r="G9" s="5">
        <v>5.9299999999999999E-2</v>
      </c>
      <c r="H9" s="5"/>
      <c r="I9" s="5"/>
      <c r="J9" s="5"/>
      <c r="K9" s="5"/>
      <c r="L9" s="5"/>
      <c r="M9" s="5">
        <f>E9^2/G9</f>
        <v>102.79866779089375</v>
      </c>
      <c r="N9" s="5"/>
      <c r="O9" s="5">
        <v>5.5469999999999997</v>
      </c>
      <c r="P9" s="5" t="s">
        <v>43</v>
      </c>
      <c r="R9" t="s">
        <v>50</v>
      </c>
    </row>
    <row r="10" spans="1:18" x14ac:dyDescent="0.25">
      <c r="A10" s="5" t="s">
        <v>31</v>
      </c>
      <c r="B10" s="5" t="s">
        <v>32</v>
      </c>
      <c r="C10" s="5">
        <v>1.5349999999999999</v>
      </c>
      <c r="D10" s="5">
        <v>1.31</v>
      </c>
      <c r="E10" s="5">
        <f>AVERAGE(C10:D10)</f>
        <v>1.4224999999999999</v>
      </c>
      <c r="F10" s="5">
        <v>3.44</v>
      </c>
      <c r="G10" s="5">
        <v>0.754</v>
      </c>
      <c r="H10" s="5">
        <v>0.72299999999999998</v>
      </c>
      <c r="I10" s="5"/>
      <c r="J10" s="5"/>
      <c r="K10" s="5"/>
      <c r="L10" s="5">
        <f>$E$10^2/F10</f>
        <v>0.58822856104651156</v>
      </c>
      <c r="M10" s="5">
        <f t="shared" ref="M10:N10" si="2">$E$10^2/G10</f>
        <v>2.6836952917771879</v>
      </c>
      <c r="N10" s="5">
        <f t="shared" si="2"/>
        <v>2.7987638312586443</v>
      </c>
      <c r="O10" s="5">
        <v>1.9970000000000001</v>
      </c>
      <c r="P10" s="5" t="s">
        <v>43</v>
      </c>
      <c r="R10" t="s">
        <v>52</v>
      </c>
    </row>
    <row r="11" spans="1:18" x14ac:dyDescent="0.25">
      <c r="A11" s="6" t="s">
        <v>33</v>
      </c>
      <c r="B11" s="6" t="s">
        <v>34</v>
      </c>
      <c r="C11" s="6">
        <v>1.843</v>
      </c>
      <c r="D11" s="6">
        <v>3.919</v>
      </c>
      <c r="E11" s="6">
        <f t="shared" ref="E11:E13" si="3">AVERAGE(C11:D11)</f>
        <v>2.8810000000000002</v>
      </c>
      <c r="F11" s="6">
        <v>5.28</v>
      </c>
      <c r="G11" s="6">
        <v>0.30599999999999999</v>
      </c>
      <c r="H11" s="6">
        <v>0.30599999999999999</v>
      </c>
      <c r="I11" s="6"/>
      <c r="J11" s="6"/>
      <c r="K11" s="6"/>
      <c r="L11" s="6">
        <f>$E$11^2/F11</f>
        <v>1.5720001893939395</v>
      </c>
      <c r="M11" s="6">
        <f t="shared" ref="M11:N11" si="4">$E$11^2/G11</f>
        <v>27.124709150326801</v>
      </c>
      <c r="N11" s="6">
        <f t="shared" si="4"/>
        <v>27.124709150326801</v>
      </c>
      <c r="O11" s="6">
        <v>0.82099999999999995</v>
      </c>
      <c r="P11" s="6" t="s">
        <v>43</v>
      </c>
      <c r="Q11" s="7"/>
      <c r="R11" s="7" t="s">
        <v>49</v>
      </c>
    </row>
    <row r="12" spans="1:18" x14ac:dyDescent="0.25">
      <c r="A12" s="6" t="s">
        <v>35</v>
      </c>
      <c r="B12" s="6" t="s">
        <v>36</v>
      </c>
      <c r="C12" s="6">
        <v>0.63800000000000001</v>
      </c>
      <c r="D12" s="6">
        <v>0.78</v>
      </c>
      <c r="E12" s="6">
        <f t="shared" si="3"/>
        <v>0.70900000000000007</v>
      </c>
      <c r="F12" s="6">
        <v>5.21</v>
      </c>
      <c r="G12" s="6">
        <v>0.28499999999999998</v>
      </c>
      <c r="H12" s="6">
        <v>0.28499999999999998</v>
      </c>
      <c r="I12" s="6"/>
      <c r="J12" s="6"/>
      <c r="K12" s="6"/>
      <c r="L12" s="6">
        <f>$E$12^2/F12</f>
        <v>9.6483877159309048E-2</v>
      </c>
      <c r="M12" s="6">
        <f t="shared" ref="M12:N12" si="5">$E$12^2/G12</f>
        <v>1.7637929824561411</v>
      </c>
      <c r="N12" s="6">
        <f t="shared" si="5"/>
        <v>1.7637929824561411</v>
      </c>
      <c r="O12" s="6">
        <v>5.8070000000000004</v>
      </c>
      <c r="P12" s="6" t="s">
        <v>43</v>
      </c>
      <c r="Q12" s="7"/>
      <c r="R12" s="7" t="s">
        <v>49</v>
      </c>
    </row>
    <row r="13" spans="1:18" x14ac:dyDescent="0.25">
      <c r="A13" s="5" t="s">
        <v>37</v>
      </c>
      <c r="B13" s="5" t="s">
        <v>38</v>
      </c>
      <c r="C13" s="5">
        <v>2.073</v>
      </c>
      <c r="D13" s="5">
        <v>1.7549999999999999</v>
      </c>
      <c r="E13" s="5">
        <f t="shared" si="3"/>
        <v>1.9139999999999999</v>
      </c>
      <c r="F13" s="5"/>
      <c r="G13" s="5">
        <v>7.9000000000000001E-2</v>
      </c>
      <c r="H13" s="5"/>
      <c r="I13" s="5"/>
      <c r="J13" s="5"/>
      <c r="K13" s="5"/>
      <c r="L13" s="5"/>
      <c r="M13" s="5">
        <f>E13^2/G13</f>
        <v>46.372101265822778</v>
      </c>
      <c r="N13" s="5"/>
      <c r="O13" s="5">
        <v>3.52</v>
      </c>
      <c r="P13" s="5" t="s">
        <v>43</v>
      </c>
      <c r="R13" t="s">
        <v>50</v>
      </c>
    </row>
    <row r="14" spans="1:18" x14ac:dyDescent="0.25">
      <c r="A14" s="5" t="s">
        <v>39</v>
      </c>
      <c r="B14" s="5" t="s">
        <v>40</v>
      </c>
      <c r="C14" s="5">
        <v>2.4689999999999999</v>
      </c>
      <c r="D14" s="5" t="s">
        <v>41</v>
      </c>
      <c r="E14" s="5">
        <v>2.649</v>
      </c>
      <c r="F14" s="5"/>
      <c r="G14" s="5">
        <v>5.9029999999999999E-2</v>
      </c>
      <c r="H14" s="5"/>
      <c r="I14" s="5"/>
      <c r="J14" s="5"/>
      <c r="K14" s="5"/>
      <c r="L14" s="5"/>
      <c r="M14" s="5"/>
      <c r="N14" s="5"/>
      <c r="O14" s="5">
        <v>5.5469999999999997</v>
      </c>
      <c r="P14" s="5" t="s">
        <v>43</v>
      </c>
      <c r="Q14" t="s">
        <v>47</v>
      </c>
      <c r="R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2025-04-14T11:19:25Z</dcterms:created>
  <dcterms:modified xsi:type="dcterms:W3CDTF">2025-04-14T13:13:39Z</dcterms:modified>
</cp:coreProperties>
</file>